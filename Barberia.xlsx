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920"/>
  </bookViews>
  <sheets>
    <sheet name="SERVICIOS MAYO" sheetId="1" r:id="rId1"/>
    <sheet name="PARÁMETROS "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<sst xmlns="http://schemas.openxmlformats.org/spreadsheetml/2006/main" count="277" uniqueCount="36">
  <si>
    <t>TOTAL FACTURADO POR BARBERO</t>
  </si>
  <si>
    <t>TOTAL FACTURADO DIA</t>
  </si>
  <si>
    <t>EFECTIVO</t>
  </si>
  <si>
    <t>TOTAL FACTURADO POR BARBERIA</t>
  </si>
  <si>
    <t>NEQUI</t>
  </si>
  <si>
    <t>FECHA</t>
  </si>
  <si>
    <t>DESCRIPCIÓN DEL SERVICIO</t>
  </si>
  <si>
    <t>BARBERO</t>
  </si>
  <si>
    <t>VALOR</t>
  </si>
  <si>
    <t>METODO PAGO</t>
  </si>
  <si>
    <t>BARBERO2</t>
  </si>
  <si>
    <t>BARBERIA</t>
  </si>
  <si>
    <t>OBSERVACION</t>
  </si>
  <si>
    <t>25/05/2026</t>
  </si>
  <si>
    <t>Corte de Cabello</t>
  </si>
  <si>
    <t>Jesús</t>
  </si>
  <si>
    <t>Efectivo</t>
  </si>
  <si>
    <t>Corte y cejas</t>
  </si>
  <si>
    <t>Nequi</t>
  </si>
  <si>
    <t>Corte,cejas y Barba</t>
  </si>
  <si>
    <t>26/05/2026</t>
  </si>
  <si>
    <t>Yefer</t>
  </si>
  <si>
    <t>Corte,otros servicios</t>
  </si>
  <si>
    <t>27/05/2026</t>
  </si>
  <si>
    <t>28/05/2026</t>
  </si>
  <si>
    <t>7mil en Nequi y 11 en efectivo</t>
  </si>
  <si>
    <t>2mil de propina</t>
  </si>
  <si>
    <t>29/05/2026</t>
  </si>
  <si>
    <t>30/05/2026</t>
  </si>
  <si>
    <t>Servicio especial</t>
  </si>
  <si>
    <t>31/05/2026</t>
  </si>
  <si>
    <t>VALORES</t>
  </si>
  <si>
    <t>NOMBRE DE BARBERO</t>
  </si>
  <si>
    <t>SERVICIOS</t>
  </si>
  <si>
    <t>PRECIO</t>
  </si>
  <si>
    <t>METODOS DE PAGO</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</si>
</sst>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6" formatCode="&quot;$&quot;#,##0_);[Red]\(&quot;$&quot;#,##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Aptos Narrow"/>
      <charset val="134"/>
      <scheme val="minor"/>
    </font>
    <font>
      <b/>
      <sz val="11"/>
      <color theme="0"/>
      <name val="Aptos Narrow"/>
      <charset val="134"/>
      <scheme val="minor"/>
    </font>
    <font>
      <sz val="11"/>
      <color theme="0"/>
      <name val="Aptos Narrow"/>
      <charset val="134"/>
      <scheme val="minor"/>
    </font>
    <font>
      <sz val="1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9">
    <fill>
      <patternFill patternType="none"/>
    </fill>
    <fill>
      <patternFill patternType="gray125"/>
    </fill>
    <fill>
      <patternFill patternType="solid">
        <fgColor theme="8"/>
        <bgColor indexed="64"/>
      </patternFill>
    </fill>
    <fill>
      <patternFill patternType="solid">
        <fgColor rgb="FFFF0000"/>
        <bgColor indexed="64"/>
      </patternFill>
    </fill>
    <fill>
      <patternFill patternType="solid">
        <fgColor rgb="FFFFC000"/>
        <bgColor indexed="64"/>
      </patternFill>
    </fill>
    <fill>
      <patternFill patternType="solid">
        <fgColor theme="7"/>
        <bgColor indexed="64"/>
      </patternFill>
    </fill>
    <fill>
      <patternFill patternType="solid">
        <fgColor theme="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auto="1"/>
      </left>
      <right style="thin">
        <color auto="1"/>
      </right>
      <top style="thin">
        <color auto="1"/>
      </top>
      <bottom style="thin">
        <color auto="1"/>
      </bottom>
      <diagonal/>
    </border>
    <border>
      <left style="thin">
        <color rgb="FF505050"/>
      </left>
      <right/>
      <top style="thin">
        <color rgb="FF505050"/>
      </top>
      <bottom/>
      <diagonal/>
    </border>
    <border>
      <left/>
      <right/>
      <top style="thin">
        <color rgb="FF505050"/>
      </top>
      <bottom/>
      <diagonal/>
    </border>
    <border>
      <left/>
      <right style="thin">
        <color rgb="FF505050"/>
      </right>
      <top style="thin">
        <color rgb="FF505050"/>
      </top>
      <bottom/>
      <diagonal/>
    </border>
    <border>
      <left style="thin">
        <color auto="1"/>
      </left>
      <right/>
      <top style="thin">
        <color auto="1"/>
      </top>
      <bottom style="thin">
        <color auto="1"/>
      </bottom>
      <diagonal/>
    </border>
    <border>
      <left style="thin">
        <color rgb="FF505050"/>
      </left>
      <right style="thin">
        <color rgb="FF505050"/>
      </right>
      <top/>
      <bottom style="thin">
        <color rgb="FF50505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8"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9" borderId="13" applyNumberFormat="0" applyAlignment="0" applyProtection="0">
      <alignment vertical="center"/>
    </xf>
    <xf numFmtId="0" fontId="14" fillId="10" borderId="14" applyNumberFormat="0" applyAlignment="0" applyProtection="0">
      <alignment vertical="center"/>
    </xf>
    <xf numFmtId="0" fontId="15" fillId="10" borderId="13" applyNumberFormat="0" applyAlignment="0" applyProtection="0">
      <alignment vertical="center"/>
    </xf>
    <xf numFmtId="0" fontId="16" fillId="11"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cellStyleXfs>
  <cellXfs count="39">
    <xf numFmtId="0" fontId="0" fillId="0" borderId="0" xfId="0"/>
    <xf numFmtId="0" fontId="0" fillId="0" borderId="0" xfId="0" applyAlignment="1">
      <alignment horizontal="center"/>
    </xf>
    <xf numFmtId="6" fontId="0" fillId="0" borderId="0" xfId="0" applyNumberFormat="1"/>
    <xf numFmtId="0" fontId="0" fillId="0" borderId="0" xfId="0"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3" borderId="4" xfId="0" applyFont="1" applyFill="1" applyBorder="1" applyAlignment="1">
      <alignment horizontal="center"/>
    </xf>
    <xf numFmtId="0" fontId="1" fillId="3" borderId="4" xfId="0" applyFont="1" applyFill="1" applyBorder="1" applyAlignment="1">
      <alignment horizontal="center"/>
    </xf>
    <xf numFmtId="0" fontId="1" fillId="4" borderId="4" xfId="0" applyFont="1" applyFill="1" applyBorder="1" applyAlignment="1">
      <alignment horizontal="center"/>
    </xf>
    <xf numFmtId="0" fontId="1" fillId="4" borderId="4" xfId="0" applyFont="1" applyFill="1" applyBorder="1" applyAlignment="1">
      <alignment horizontal="center"/>
    </xf>
    <xf numFmtId="6" fontId="0" fillId="0" borderId="5" xfId="0" applyNumberFormat="1" applyBorder="1" applyAlignment="1">
      <alignment horizontal="center"/>
    </xf>
    <xf numFmtId="6" fontId="0" fillId="0" borderId="6" xfId="0" applyNumberFormat="1" applyBorder="1" applyAlignment="1">
      <alignment horizontal="center"/>
    </xf>
    <xf numFmtId="6" fontId="0" fillId="0" borderId="7" xfId="0" applyNumberFormat="1" applyBorder="1" applyAlignment="1">
      <alignment horizontal="center"/>
    </xf>
    <xf numFmtId="6" fontId="0" fillId="0" borderId="4" xfId="0" applyNumberFormat="1" applyBorder="1" applyAlignment="1">
      <alignment horizontal="center"/>
    </xf>
    <xf numFmtId="6" fontId="0" fillId="0" borderId="8" xfId="0" applyNumberFormat="1" applyBorder="1" applyAlignment="1">
      <alignment horizontal="center"/>
    </xf>
    <xf numFmtId="0" fontId="1" fillId="5" borderId="1"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6" borderId="4" xfId="0" applyFont="1" applyFill="1" applyBorder="1" applyAlignment="1">
      <alignment horizontal="center"/>
    </xf>
    <xf numFmtId="0" fontId="1" fillId="6" borderId="4" xfId="0" applyFont="1" applyFill="1" applyBorder="1" applyAlignment="1">
      <alignment horizontal="center"/>
    </xf>
    <xf numFmtId="9" fontId="0" fillId="0" borderId="0" xfId="0" applyNumberFormat="1"/>
    <xf numFmtId="6" fontId="0" fillId="0" borderId="9" xfId="0" applyNumberFormat="1" applyBorder="1" applyAlignment="1">
      <alignment horizontal="center"/>
    </xf>
    <xf numFmtId="0" fontId="2" fillId="0" borderId="0" xfId="0" applyFont="1" applyFill="1" applyBorder="1" applyAlignment="1"/>
    <xf numFmtId="58" fontId="0" fillId="0" borderId="0" xfId="0" applyNumberFormat="1"/>
    <xf numFmtId="0" fontId="0" fillId="0" borderId="0" xfId="0" applyAlignment="1"/>
    <xf numFmtId="0" fontId="1" fillId="0" borderId="0" xfId="0" applyFont="1" applyFill="1" applyBorder="1" applyAlignment="1"/>
    <xf numFmtId="0" fontId="0" fillId="0" borderId="0" xfId="0" applyBorder="1" applyAlignment="1"/>
    <xf numFmtId="6" fontId="2" fillId="0" borderId="0" xfId="0" applyNumberFormat="1" applyFont="1" applyFill="1" applyBorder="1" applyAlignment="1"/>
    <xf numFmtId="0" fontId="0" fillId="0" borderId="0" xfId="0" applyBorder="1" applyAlignment="1"/>
    <xf numFmtId="6" fontId="2" fillId="0" borderId="0" xfId="0" applyNumberFormat="1" applyFont="1" applyBorder="1" applyAlignment="1"/>
    <xf numFmtId="0" fontId="0" fillId="0" borderId="0" xfId="0" applyBorder="1"/>
    <xf numFmtId="0" fontId="2" fillId="0" borderId="0" xfId="0" applyFont="1" applyFill="1" applyBorder="1" applyAlignment="1"/>
    <xf numFmtId="6" fontId="0" fillId="0" borderId="0" xfId="0" applyNumberFormat="1" applyFill="1" applyBorder="1" applyAlignment="1"/>
    <xf numFmtId="6" fontId="0" fillId="0" borderId="0" xfId="0" applyNumberFormat="1" applyBorder="1" applyAlignment="1"/>
    <xf numFmtId="0" fontId="0" fillId="0" borderId="0" xfId="0" applyFill="1" applyBorder="1" applyAlignment="1"/>
    <xf numFmtId="0" fontId="0" fillId="0" borderId="0" xfId="0" applyBorder="1"/>
    <xf numFmtId="6" fontId="3" fillId="7" borderId="0" xfId="0" applyNumberFormat="1" applyFont="1" applyFill="1"/>
    <xf numFmtId="6" fontId="0" fillId="7" borderId="0" xfId="0" applyNumberFormat="1" applyFill="1"/>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21">
    <dxf>
      <numFmt numFmtId="58" formatCode="m/d/yyyy"/>
    </dxf>
    <dxf>
      <numFmt numFmtId="6" formatCode="&quot;$&quot;#,##0_);[Red]\(&quot;$&quot;#,##0\)"/>
    </dxf>
    <dxf>
      <numFmt numFmtId="6" formatCode="&quot;$&quot;#,##0_);[Red]\(&quot;$&quot;#,##0\)"/>
    </dxf>
    <dxf>
      <numFmt numFmtId="6" formatCode="&quot;$&quot;#,##0_);[Red]\(&quot;$&quot;#,##0\)"/>
    </dxf>
    <dxf>
      <numFmt numFmtId="6" formatCode="&quot;$&quot;#,##0_);[Red]\(&quot;$&quot;#,##0\)"/>
    </dxf>
    <dxf>
      <fill>
        <patternFill patternType="solid">
          <fgColor theme="8" tint="0.799981688894314"/>
          <bgColor theme="8" tint="0.799981688894314"/>
        </patternFill>
      </fill>
    </dxf>
    <dxf>
      <fill>
        <patternFill patternType="solid">
          <fgColor theme="8" tint="0.799981688894314"/>
          <bgColor theme="8" tint="0.799981688894314"/>
        </patternFill>
      </fill>
    </dxf>
    <dxf>
      <font>
        <b val="1"/>
        <color theme="1"/>
      </font>
    </dxf>
    <dxf>
      <font>
        <b val="1"/>
        <color theme="1"/>
      </font>
    </dxf>
    <dxf>
      <font>
        <b val="1"/>
        <color theme="1"/>
      </font>
      <border>
        <top style="double">
          <color theme="8"/>
        </top>
      </border>
    </dxf>
    <dxf>
      <font>
        <b val="1"/>
        <color theme="0"/>
      </font>
      <fill>
        <patternFill patternType="solid">
          <fgColor theme="8"/>
          <bgColor theme="8"/>
        </patternFill>
      </fill>
    </dxf>
    <dxf>
      <font>
        <color theme="1"/>
      </font>
      <border>
        <left style="thin">
          <color theme="8"/>
        </left>
        <right style="thin">
          <color theme="8"/>
        </right>
        <top style="thin">
          <color theme="8"/>
        </top>
        <bottom style="thin">
          <color theme="8"/>
        </bottom>
        <horizontal style="thin">
          <color theme="8"/>
        </horizontal>
      </border>
    </dxf>
    <dxf>
      <border>
        <left style="thin">
          <color theme="4"/>
        </left>
      </border>
    </dxf>
    <dxf>
      <border>
        <left style="thin">
          <color theme="4"/>
        </left>
      </border>
    </dxf>
    <dxf>
      <border>
        <top style="thin">
          <color theme="4"/>
        </top>
      </border>
    </dxf>
    <dxf>
      <border>
        <top style="thin">
          <color theme="4"/>
        </top>
      </border>
    </dxf>
    <dxf>
      <font>
        <b val="1"/>
        <color theme="1"/>
      </font>
    </dxf>
    <dxf>
      <font>
        <b val="1"/>
        <color theme="1"/>
      </font>
      <fill>
        <patternFill patternType="solid">
          <fgColor theme="4" tint="0.799981688894314"/>
          <bgColor theme="4" tint="0.799981688894314"/>
        </patternFill>
      </fill>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2" defaultTableStyle="TableStyleMedium2" defaultPivotStyle="PivotStyleLight16">
    <tableStyle name="TableStylePreset3_Accent5" pivot="0" count="7" xr9:uid="{C431203C-6E38-41F6-BEB3-C01E9ECA39FD}">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TableStylePreset8_Accent1" pivot="0" count="9" xr9:uid="{C16462FB-CDE6-4BB5-BAFA-1372A3CEEFCD}">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ERVICIOS" displayName="SERVICIOS" ref="A5:H67" totalsRowShown="0">
  <autoFilter xmlns:etc="http://www.wps.cn/officeDocument/2017/etCustomData" ref="A5:H67" etc:filterBottomFollowUsedRange="0"/>
  <tableColumns count="8">
    <tableColumn id="1" name="FECHA" dataDxfId="0"/>
    <tableColumn id="2" name="DESCRIPCIÓN DEL SERVICIO"/>
    <tableColumn id="3" name="BARBERO"/>
    <tableColumn id="4" name="VALOR" dataDxfId="1">
      <calculatedColumnFormula>IFERROR(VLOOKUP(B6,valores[],2,TRUE),"")</calculatedColumnFormula>
    </tableColumn>
    <tableColumn id="7" name="METODO PAGO"/>
    <tableColumn id="5" name="BARBERO2" dataDxfId="2">
      <calculatedColumnFormula>D6*$F$4</calculatedColumnFormula>
    </tableColumn>
    <tableColumn id="6" name="BARBERIA" dataDxfId="3">
      <calculatedColumnFormula>D6*$G$4</calculatedColumnFormula>
    </tableColumn>
    <tableColumn id="8" name="OBSERVACION"/>
  </tableColumns>
  <tableStyleInfo name="TableStylePreset8_Accent1" showFirstColumn="1" showLastColumn="0" showRowStripes="0" showColumnStripes="0"/>
</table>
</file>

<file path=xl/tables/table2.xml><?xml version="1.0" encoding="utf-8"?>
<table xmlns="http://schemas.openxmlformats.org/spreadsheetml/2006/main" id="3" name="BARBEROS" displayName="BARBEROS" ref="A2:A4" totalsRowShown="0">
  <autoFilter xmlns:etc="http://www.wps.cn/officeDocument/2017/etCustomData" ref="A2:A4" etc:filterBottomFollowUsedRange="0"/>
  <tableColumns count="1">
    <tableColumn id="1" name="NOMBRE DE BARBERO"/>
  </tableColumns>
  <tableStyleInfo name="TableStyleLight4" showFirstColumn="0" showLastColumn="0" showRowStripes="1" showColumnStripes="0"/>
</table>
</file>

<file path=xl/tables/table3.xml><?xml version="1.0" encoding="utf-8"?>
<table xmlns="http://schemas.openxmlformats.org/spreadsheetml/2006/main" id="4" name="VALORES" displayName="valores" ref="C2:D7" totalsRowShown="0">
  <autoFilter xmlns:etc="http://www.wps.cn/officeDocument/2017/etCustomData" ref="C2:D7" etc:filterBottomFollowUsedRange="0"/>
  <tableColumns count="2">
    <tableColumn id="1" name="SERVICIOS"/>
    <tableColumn id="2" name="PRECIO" dataDxfId="4"/>
  </tableColumns>
  <tableStyleInfo name="TableStyleLight3" showFirstColumn="0" showLastColumn="0" showRowStripes="1" showColumnStripes="0"/>
</table>
</file>

<file path=xl/tables/table4.xml><?xml version="1.0" encoding="utf-8"?>
<table xmlns="http://schemas.openxmlformats.org/spreadsheetml/2006/main" id="5" name="PAGOS" displayName="PAGOS" ref="F2:F4" totalsRowShown="0">
  <autoFilter xmlns:etc="http://www.wps.cn/officeDocument/2017/etCustomData" ref="F2:F4" etc:filterBottomFollowUsedRange="0"/>
  <tableColumns count="1">
    <tableColumn id="1" name="METODOS DE PAGO"/>
  </tableColumns>
  <tableStyleInfo name="TableStylePreset3_Accent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7"/>
  <sheetViews>
    <sheetView tabSelected="1" workbookViewId="0">
      <selection activeCell="K14" sqref="K14"/>
    </sheetView>
  </sheetViews>
  <sheetFormatPr defaultColWidth="9" defaultRowHeight="14"/>
  <cols>
    <col min="1" max="1" width="12.4545454545455" customWidth="1"/>
    <col min="2" max="2" width="30" customWidth="1"/>
    <col min="4" max="4" width="15.1818181818182"/>
    <col min="5" max="5" width="15.8181818181818" customWidth="1"/>
    <col min="6" max="6" width="15.1818181818182"/>
    <col min="7" max="7" width="12.9090909090909"/>
    <col min="8" max="8" width="19.1" customWidth="1"/>
  </cols>
  <sheetData>
    <row r="1" spans="1:18">
      <c r="A1" s="3"/>
      <c r="B1" s="3"/>
      <c r="C1" s="3"/>
      <c r="D1" s="3"/>
      <c r="E1" s="3"/>
      <c r="F1" s="3"/>
      <c r="G1" s="3"/>
      <c r="H1" s="4" t="s">
        <v>0</v>
      </c>
      <c r="I1" s="5"/>
      <c r="J1" s="6"/>
      <c r="L1" s="7" t="s">
        <v>1</v>
      </c>
      <c r="M1" s="8"/>
      <c r="N1" s="8"/>
      <c r="P1" s="9" t="s">
        <v>2</v>
      </c>
      <c r="Q1" s="10"/>
      <c r="R1" s="10"/>
    </row>
    <row r="2" spans="1:18">
      <c r="A2" s="3"/>
      <c r="B2" s="3"/>
      <c r="C2" s="3"/>
      <c r="D2" s="3"/>
      <c r="E2" s="3"/>
      <c r="F2" s="3"/>
      <c r="G2" s="3"/>
      <c r="H2" s="11">
        <f>SUBTOTAL(9,F6:F67)</f>
        <v>613800</v>
      </c>
      <c r="I2" s="12"/>
      <c r="J2" s="13"/>
      <c r="L2" s="14">
        <f>SUBTOTAL(9,D6:D67)</f>
        <v>1250000</v>
      </c>
      <c r="M2" s="14"/>
      <c r="N2" s="15"/>
      <c r="P2" s="14">
        <f>SUBTOTAL(9,D6:D67)</f>
        <v>1250000</v>
      </c>
      <c r="Q2" s="14"/>
      <c r="R2" s="14"/>
    </row>
    <row r="3" spans="1:18">
      <c r="A3" s="3"/>
      <c r="B3" s="3"/>
      <c r="C3" s="3"/>
      <c r="D3" s="3"/>
      <c r="E3" s="3"/>
      <c r="F3" s="3"/>
      <c r="G3" s="3"/>
      <c r="H3" s="16" t="s">
        <v>3</v>
      </c>
      <c r="I3" s="17"/>
      <c r="J3" s="18"/>
      <c r="P3" s="19" t="s">
        <v>4</v>
      </c>
      <c r="Q3" s="20"/>
      <c r="R3" s="20"/>
    </row>
    <row r="4" spans="1:18">
      <c r="E4" s="21"/>
      <c r="F4" s="21">
        <v>0.6</v>
      </c>
      <c r="G4" s="21">
        <v>0.4</v>
      </c>
      <c r="H4" s="22">
        <f>SUBTOTAL(9,G6:G67)</f>
        <v>409200</v>
      </c>
      <c r="I4" s="22"/>
      <c r="J4" s="22"/>
      <c r="P4" s="14">
        <f>SUBTOTAL(9,D6:D67)</f>
        <v>1250000</v>
      </c>
      <c r="Q4" s="14"/>
      <c r="R4" s="14"/>
    </row>
    <row r="5" spans="1:18">
      <c r="A5" t="s">
        <v>5</v>
      </c>
      <c r="B5" t="s">
        <v>6</v>
      </c>
      <c r="C5" t="s">
        <v>7</v>
      </c>
      <c r="D5" t="s">
        <v>8</v>
      </c>
      <c r="E5" t="s">
        <v>9</v>
      </c>
      <c r="F5" t="s">
        <v>10</v>
      </c>
      <c r="G5" t="s">
        <v>11</v>
      </c>
      <c r="H5" t="s">
        <v>12</v>
      </c>
      <c r="K5" s="23"/>
      <c r="L5" s="23"/>
      <c r="M5" s="23"/>
    </row>
    <row r="6" spans="1:18">
      <c r="A6" s="24" t="s">
        <v>13</v>
      </c>
      <c r="B6" t="s">
        <v>14</v>
      </c>
      <c r="C6" t="s">
        <v>15</v>
      </c>
      <c r="D6" s="2">
        <f>IFERROR(VLOOKUP(B6,valores[],2,TRUE),"")</f>
        <v>18000</v>
      </c>
      <c r="E6" s="2" t="s">
        <v>16</v>
      </c>
      <c r="F6" s="2">
        <f>D6*$F$4</f>
        <v>10800</v>
      </c>
      <c r="G6" s="2">
        <f>D6*$G$4</f>
        <v>7200</v>
      </c>
      <c r="H6" s="25"/>
      <c r="I6" s="25"/>
      <c r="J6" s="25"/>
      <c r="K6" s="26"/>
      <c r="L6" s="26"/>
      <c r="M6" s="26"/>
      <c r="N6" s="27"/>
    </row>
    <row r="7" spans="1:18">
      <c r="A7" s="24" t="s">
        <v>13</v>
      </c>
      <c r="B7" t="s">
        <v>17</v>
      </c>
      <c r="C7" t="s">
        <v>15</v>
      </c>
      <c r="D7" s="2">
        <f>IFERROR(VLOOKUP(B7,valores[],2,TRUE),"")</f>
        <v>20000</v>
      </c>
      <c r="E7" s="2" t="s">
        <v>18</v>
      </c>
      <c r="F7" s="2">
        <f>D7*$F$4</f>
        <v>12000</v>
      </c>
      <c r="G7" s="2">
        <f>D7*$G$4</f>
        <v>8000</v>
      </c>
      <c r="K7" s="28"/>
      <c r="L7" s="28"/>
      <c r="M7" s="28"/>
      <c r="N7" s="27"/>
    </row>
    <row r="8" spans="1:18">
      <c r="A8" s="24" t="s">
        <v>13</v>
      </c>
      <c r="B8" t="s">
        <v>19</v>
      </c>
      <c r="C8" t="s">
        <v>15</v>
      </c>
      <c r="D8" s="2">
        <f>IFERROR(VLOOKUP(B8,valores[],2,TRUE),"")</f>
        <v>25000</v>
      </c>
      <c r="E8" s="2" t="s">
        <v>16</v>
      </c>
      <c r="F8" s="2">
        <f>D8*$F$4</f>
        <v>15000</v>
      </c>
      <c r="G8" s="2">
        <f>D8*$G$4</f>
        <v>10000</v>
      </c>
      <c r="K8" s="26"/>
      <c r="L8" s="26"/>
      <c r="M8" s="26"/>
      <c r="N8" s="27"/>
    </row>
    <row r="9" spans="1:18">
      <c r="A9" s="24" t="s">
        <v>13</v>
      </c>
      <c r="B9" t="s">
        <v>17</v>
      </c>
      <c r="C9" t="s">
        <v>15</v>
      </c>
      <c r="D9" s="2">
        <f>IFERROR(VLOOKUP(B9,valores[],2,TRUE),"")</f>
        <v>20000</v>
      </c>
      <c r="E9" s="2" t="s">
        <v>18</v>
      </c>
      <c r="F9" s="2">
        <f>D9*$F$4</f>
        <v>12000</v>
      </c>
      <c r="G9" s="2">
        <f>D9*$G$4</f>
        <v>8000</v>
      </c>
      <c r="K9" s="28"/>
      <c r="L9" s="28"/>
      <c r="M9" s="28"/>
      <c r="N9" s="27"/>
    </row>
    <row r="10" spans="1:18">
      <c r="A10" s="24" t="s">
        <v>13</v>
      </c>
      <c r="B10" t="s">
        <v>14</v>
      </c>
      <c r="C10" t="s">
        <v>15</v>
      </c>
      <c r="D10" s="2">
        <f>IFERROR(VLOOKUP(B10,valores[],2,TRUE),"")</f>
        <v>18000</v>
      </c>
      <c r="E10" s="2" t="s">
        <v>16</v>
      </c>
      <c r="F10" s="2">
        <f>D10*$F$4</f>
        <v>10800</v>
      </c>
      <c r="G10" s="2">
        <f>D10*$G$4</f>
        <v>7200</v>
      </c>
      <c r="K10" s="23"/>
      <c r="L10" s="23"/>
      <c r="M10" s="23"/>
    </row>
    <row r="11" spans="1:18">
      <c r="A11" s="24" t="s">
        <v>13</v>
      </c>
      <c r="B11" t="s">
        <v>14</v>
      </c>
      <c r="C11" t="s">
        <v>15</v>
      </c>
      <c r="D11" s="2">
        <f>IFERROR(VLOOKUP(B11,valores[],2,TRUE),"")</f>
        <v>18000</v>
      </c>
      <c r="E11" s="2" t="s">
        <v>16</v>
      </c>
      <c r="F11" s="2">
        <f>D11*$F$4</f>
        <v>10800</v>
      </c>
      <c r="G11" s="2">
        <f>D11*$G$4</f>
        <v>7200</v>
      </c>
      <c r="H11" s="29"/>
      <c r="I11" s="29"/>
      <c r="J11" s="29"/>
      <c r="K11" s="23"/>
      <c r="L11" s="23"/>
      <c r="M11" s="23"/>
    </row>
    <row r="12" spans="1:18">
      <c r="A12" s="24" t="s">
        <v>13</v>
      </c>
      <c r="B12" t="s">
        <v>14</v>
      </c>
      <c r="C12" t="s">
        <v>15</v>
      </c>
      <c r="D12" s="2">
        <f>IFERROR(VLOOKUP(B12,valores[],2,TRUE),"")</f>
        <v>18000</v>
      </c>
      <c r="E12" s="2" t="s">
        <v>16</v>
      </c>
      <c r="F12" s="2">
        <f>D12*$F$4</f>
        <v>10800</v>
      </c>
      <c r="G12" s="2">
        <f>D12*$G$4</f>
        <v>7200</v>
      </c>
      <c r="H12" s="26"/>
      <c r="I12" s="26"/>
      <c r="J12" s="26"/>
    </row>
    <row r="13" spans="1:18">
      <c r="A13" s="24" t="s">
        <v>13</v>
      </c>
      <c r="B13" t="s">
        <v>19</v>
      </c>
      <c r="C13" t="s">
        <v>15</v>
      </c>
      <c r="D13" s="2">
        <f>IFERROR(VLOOKUP(B13,valores[],2,TRUE),"")</f>
        <v>25000</v>
      </c>
      <c r="E13" s="2" t="s">
        <v>18</v>
      </c>
      <c r="F13" s="2">
        <f>D13*$F$4</f>
        <v>15000</v>
      </c>
      <c r="G13" s="2">
        <f>D13*$G$4</f>
        <v>10000</v>
      </c>
      <c r="H13" s="30"/>
      <c r="I13" s="30"/>
      <c r="J13" s="30"/>
      <c r="K13" s="31"/>
    </row>
    <row r="14" spans="1:18">
      <c r="A14" s="24" t="s">
        <v>20</v>
      </c>
      <c r="B14" t="s">
        <v>14</v>
      </c>
      <c r="C14" t="s">
        <v>15</v>
      </c>
      <c r="D14" s="2">
        <f>IFERROR(VLOOKUP(B14,valores[],2,TRUE),"")</f>
        <v>18000</v>
      </c>
      <c r="E14" t="s">
        <v>18</v>
      </c>
      <c r="F14" s="2">
        <f>D14*$F$4</f>
        <v>10800</v>
      </c>
      <c r="G14" s="2">
        <f>D14*$G$4</f>
        <v>7200</v>
      </c>
      <c r="H14" s="32"/>
      <c r="I14" s="32"/>
      <c r="J14" s="32"/>
      <c r="K14" s="27"/>
    </row>
    <row r="15" spans="1:18">
      <c r="A15" s="24" t="s">
        <v>20</v>
      </c>
      <c r="B15" t="s">
        <v>14</v>
      </c>
      <c r="C15" t="s">
        <v>15</v>
      </c>
      <c r="D15" s="2">
        <f>IFERROR(VLOOKUP(B15,valores[],2,TRUE),"")</f>
        <v>18000</v>
      </c>
      <c r="E15" t="s">
        <v>16</v>
      </c>
      <c r="F15" s="2">
        <f>D15*$F$4</f>
        <v>10800</v>
      </c>
      <c r="G15" s="2">
        <f>D15*$G$4</f>
        <v>7200</v>
      </c>
      <c r="H15" s="33"/>
      <c r="I15" s="33"/>
      <c r="J15" s="33"/>
      <c r="K15" s="34"/>
    </row>
    <row r="16" spans="1:18">
      <c r="A16" s="24" t="s">
        <v>20</v>
      </c>
      <c r="B16" t="s">
        <v>19</v>
      </c>
      <c r="C16" t="s">
        <v>21</v>
      </c>
      <c r="D16" s="2">
        <f>IFERROR(VLOOKUP(B16,valores[],2,TRUE),"")</f>
        <v>25000</v>
      </c>
      <c r="E16" t="s">
        <v>18</v>
      </c>
      <c r="F16" s="2">
        <v>0</v>
      </c>
      <c r="G16" s="2">
        <v>0</v>
      </c>
      <c r="H16" s="35"/>
      <c r="I16" s="35"/>
      <c r="J16" s="35"/>
      <c r="K16" s="27"/>
    </row>
    <row r="17" spans="1:11">
      <c r="A17" s="24" t="s">
        <v>20</v>
      </c>
      <c r="B17" t="s">
        <v>14</v>
      </c>
      <c r="C17" t="s">
        <v>15</v>
      </c>
      <c r="D17" s="2">
        <f>IFERROR(VLOOKUP(B17,valores[],2,TRUE),"")</f>
        <v>18000</v>
      </c>
      <c r="E17" t="s">
        <v>18</v>
      </c>
      <c r="F17" s="2">
        <f>D17*$F$4</f>
        <v>10800</v>
      </c>
      <c r="G17" s="2">
        <f>D17*$G$4</f>
        <v>7200</v>
      </c>
      <c r="H17" s="33"/>
      <c r="I17" s="33"/>
      <c r="J17" s="33"/>
      <c r="K17" s="34"/>
    </row>
    <row r="18" spans="1:11">
      <c r="A18" s="24" t="s">
        <v>20</v>
      </c>
      <c r="B18" t="s">
        <v>14</v>
      </c>
      <c r="C18" t="s">
        <v>21</v>
      </c>
      <c r="D18" s="2">
        <f>IFERROR(VLOOKUP(B18,valores[],2,TRUE),"")</f>
        <v>18000</v>
      </c>
      <c r="E18" t="s">
        <v>18</v>
      </c>
      <c r="F18" s="2">
        <v>0</v>
      </c>
      <c r="G18" s="2">
        <v>0</v>
      </c>
      <c r="H18" s="36"/>
      <c r="I18" s="36"/>
      <c r="J18" s="36"/>
      <c r="K18" s="31"/>
    </row>
    <row r="19" spans="1:11">
      <c r="A19" s="24" t="s">
        <v>20</v>
      </c>
      <c r="B19" t="s">
        <v>14</v>
      </c>
      <c r="C19" t="s">
        <v>15</v>
      </c>
      <c r="D19" s="2">
        <f>IFERROR(VLOOKUP(B19,valores[],2,TRUE),"")</f>
        <v>18000</v>
      </c>
      <c r="E19" t="s">
        <v>16</v>
      </c>
      <c r="F19" s="2">
        <f>D19*$F$4</f>
        <v>10800</v>
      </c>
      <c r="G19" s="2">
        <f>D19*$G$4</f>
        <v>7200</v>
      </c>
    </row>
    <row r="20" spans="1:11">
      <c r="A20" s="24" t="s">
        <v>20</v>
      </c>
      <c r="B20" t="s">
        <v>22</v>
      </c>
      <c r="C20" t="s">
        <v>15</v>
      </c>
      <c r="D20" s="2">
        <f>IFERROR(VLOOKUP(B20,valores[],2,TRUE),"")</f>
        <v>22000</v>
      </c>
      <c r="E20" t="s">
        <v>16</v>
      </c>
      <c r="F20" s="2">
        <f>D20*$F$4</f>
        <v>13200</v>
      </c>
      <c r="G20" s="2">
        <f>D20*$G$4</f>
        <v>8800</v>
      </c>
    </row>
    <row r="21" spans="1:11">
      <c r="A21" s="24" t="s">
        <v>20</v>
      </c>
      <c r="B21" t="s">
        <v>22</v>
      </c>
      <c r="C21" t="s">
        <v>15</v>
      </c>
      <c r="D21" s="2">
        <f>IFERROR(VLOOKUP(B21,valores[],2,TRUE),"")</f>
        <v>22000</v>
      </c>
      <c r="E21" t="s">
        <v>16</v>
      </c>
      <c r="F21" s="2">
        <f>D21*$F$4</f>
        <v>13200</v>
      </c>
      <c r="G21" s="2">
        <f>D21*$G$4</f>
        <v>8800</v>
      </c>
    </row>
    <row r="22" spans="1:11">
      <c r="A22" s="24" t="s">
        <v>20</v>
      </c>
      <c r="B22" t="s">
        <v>14</v>
      </c>
      <c r="C22" t="s">
        <v>15</v>
      </c>
      <c r="D22" s="2">
        <f>IFERROR(VLOOKUP(B22,valores[],2,TRUE),"")</f>
        <v>18000</v>
      </c>
      <c r="E22" t="s">
        <v>16</v>
      </c>
      <c r="F22" s="2">
        <f>D22*$F$4</f>
        <v>10800</v>
      </c>
      <c r="G22" s="2">
        <f>D22*$G$4</f>
        <v>7200</v>
      </c>
    </row>
    <row r="23" spans="1:11">
      <c r="A23" s="24" t="s">
        <v>20</v>
      </c>
      <c r="B23" t="s">
        <v>17</v>
      </c>
      <c r="C23" t="s">
        <v>21</v>
      </c>
      <c r="D23" s="2">
        <f>IFERROR(VLOOKUP(B23,valores[],2,TRUE),"")</f>
        <v>20000</v>
      </c>
      <c r="E23" t="s">
        <v>18</v>
      </c>
      <c r="F23" s="2">
        <v>0</v>
      </c>
      <c r="G23" s="2">
        <v>0</v>
      </c>
    </row>
    <row r="24" spans="1:11">
      <c r="A24" s="24" t="s">
        <v>23</v>
      </c>
      <c r="B24" t="s">
        <v>14</v>
      </c>
      <c r="C24" t="s">
        <v>15</v>
      </c>
      <c r="D24" s="2">
        <f>IFERROR(VLOOKUP(B24,valores[],2,TRUE),"")</f>
        <v>18000</v>
      </c>
      <c r="E24" t="s">
        <v>18</v>
      </c>
      <c r="F24" s="2">
        <f>D24*$F$4</f>
        <v>10800</v>
      </c>
      <c r="G24" s="2">
        <f>D24*$G$4</f>
        <v>7200</v>
      </c>
    </row>
    <row r="25" spans="1:11">
      <c r="A25" s="24" t="s">
        <v>23</v>
      </c>
      <c r="B25" t="s">
        <v>19</v>
      </c>
      <c r="C25" t="s">
        <v>15</v>
      </c>
      <c r="D25" s="2">
        <f>IFERROR(VLOOKUP(B25,valores[],2,TRUE),"")</f>
        <v>25000</v>
      </c>
      <c r="E25" t="s">
        <v>16</v>
      </c>
      <c r="F25" s="2">
        <f>D25*$F$4</f>
        <v>15000</v>
      </c>
      <c r="G25" s="2">
        <f>D25*$G$4</f>
        <v>10000</v>
      </c>
    </row>
    <row r="26" spans="1:11">
      <c r="A26" s="24" t="s">
        <v>23</v>
      </c>
      <c r="B26" t="s">
        <v>22</v>
      </c>
      <c r="C26" t="s">
        <v>15</v>
      </c>
      <c r="D26" s="2">
        <f>IFERROR(VLOOKUP(B26,valores[],2,TRUE),"")</f>
        <v>22000</v>
      </c>
      <c r="E26" t="s">
        <v>16</v>
      </c>
      <c r="F26" s="2">
        <f>D26*$F$4</f>
        <v>13200</v>
      </c>
      <c r="G26" s="2">
        <f>D26*$G$4</f>
        <v>8800</v>
      </c>
    </row>
    <row r="27" spans="1:11">
      <c r="A27" s="24" t="s">
        <v>23</v>
      </c>
      <c r="B27" t="s">
        <v>17</v>
      </c>
      <c r="C27" t="s">
        <v>15</v>
      </c>
      <c r="D27" s="2">
        <f>IFERROR(VLOOKUP(B27,valores[],2,TRUE),"")</f>
        <v>20000</v>
      </c>
      <c r="E27" t="s">
        <v>16</v>
      </c>
      <c r="F27" s="2">
        <f>D27*$F$4</f>
        <v>12000</v>
      </c>
      <c r="G27" s="2">
        <f>D27*$G$4</f>
        <v>8000</v>
      </c>
    </row>
    <row r="28" spans="1:11">
      <c r="A28" s="24" t="s">
        <v>23</v>
      </c>
      <c r="B28" t="s">
        <v>14</v>
      </c>
      <c r="C28" t="s">
        <v>15</v>
      </c>
      <c r="D28" s="2">
        <f>IFERROR(VLOOKUP(B28,valores[],2,TRUE),"")</f>
        <v>18000</v>
      </c>
      <c r="E28" t="s">
        <v>16</v>
      </c>
      <c r="F28" s="2">
        <f>D28*$F$4</f>
        <v>10800</v>
      </c>
      <c r="G28" s="2">
        <f>D28*$G$4</f>
        <v>7200</v>
      </c>
    </row>
    <row r="29" spans="1:11">
      <c r="A29" s="24" t="s">
        <v>23</v>
      </c>
      <c r="B29" t="s">
        <v>22</v>
      </c>
      <c r="C29" t="s">
        <v>21</v>
      </c>
      <c r="D29" s="2">
        <f>IFERROR(VLOOKUP(B29,valores[],2,TRUE),"")</f>
        <v>22000</v>
      </c>
      <c r="E29" t="s">
        <v>18</v>
      </c>
      <c r="F29" s="2">
        <v>0</v>
      </c>
      <c r="G29" s="2">
        <v>0</v>
      </c>
    </row>
    <row r="30" spans="1:11">
      <c r="A30" s="24" t="s">
        <v>24</v>
      </c>
      <c r="B30" t="s">
        <v>14</v>
      </c>
      <c r="C30" t="s">
        <v>15</v>
      </c>
      <c r="D30" s="37">
        <f>IFERROR(VLOOKUP(B30,valores[],2,TRUE),"")</f>
        <v>18000</v>
      </c>
      <c r="E30" t="s">
        <v>18</v>
      </c>
      <c r="F30" s="2">
        <f>D30*$F$4</f>
        <v>10800</v>
      </c>
      <c r="G30" s="2">
        <f>D30*$G$4</f>
        <v>7200</v>
      </c>
      <c r="H30" t="s">
        <v>25</v>
      </c>
    </row>
    <row r="31" spans="1:11">
      <c r="A31" s="24" t="s">
        <v>24</v>
      </c>
      <c r="B31" t="s">
        <v>14</v>
      </c>
      <c r="C31" t="s">
        <v>15</v>
      </c>
      <c r="D31" s="2">
        <f>IFERROR(VLOOKUP(B31,valores[],2,TRUE),"")</f>
        <v>18000</v>
      </c>
      <c r="E31" t="s">
        <v>18</v>
      </c>
      <c r="F31" s="2">
        <f>D31*$F$4</f>
        <v>10800</v>
      </c>
      <c r="G31" s="2">
        <f>D31*$G$4</f>
        <v>7200</v>
      </c>
    </row>
    <row r="32" spans="1:11">
      <c r="A32" s="24" t="s">
        <v>24</v>
      </c>
      <c r="B32" t="s">
        <v>17</v>
      </c>
      <c r="C32" t="s">
        <v>15</v>
      </c>
      <c r="D32" s="38">
        <f>IFERROR(VLOOKUP(B32,valores[],2,TRUE),"")</f>
        <v>20000</v>
      </c>
      <c r="E32" t="s">
        <v>18</v>
      </c>
      <c r="F32" s="2">
        <f>D32*$F$4</f>
        <v>12000</v>
      </c>
      <c r="G32" s="2">
        <f>D32*$G$4</f>
        <v>8000</v>
      </c>
      <c r="H32" t="s">
        <v>26</v>
      </c>
    </row>
    <row r="33" spans="1:7">
      <c r="A33" s="24" t="s">
        <v>24</v>
      </c>
      <c r="B33" t="s">
        <v>14</v>
      </c>
      <c r="C33" t="s">
        <v>15</v>
      </c>
      <c r="D33" s="2">
        <f>IFERROR(VLOOKUP(B33,valores[],2,TRUE),"")</f>
        <v>18000</v>
      </c>
      <c r="E33" t="s">
        <v>18</v>
      </c>
      <c r="F33" s="2">
        <f>D33*$F$4</f>
        <v>10800</v>
      </c>
      <c r="G33" s="2">
        <f>D33*$G$4</f>
        <v>7200</v>
      </c>
    </row>
    <row r="34" spans="1:7">
      <c r="A34" s="24" t="s">
        <v>24</v>
      </c>
      <c r="B34" t="s">
        <v>17</v>
      </c>
      <c r="C34" t="s">
        <v>15</v>
      </c>
      <c r="D34" s="2">
        <f>IFERROR(VLOOKUP(B34,valores[],2,TRUE),"")</f>
        <v>20000</v>
      </c>
      <c r="E34" t="s">
        <v>16</v>
      </c>
      <c r="F34" s="2">
        <f>D34*$F$4</f>
        <v>12000</v>
      </c>
      <c r="G34" s="2">
        <f>D34*$G$4</f>
        <v>8000</v>
      </c>
    </row>
    <row r="35" spans="1:7">
      <c r="A35" s="24" t="s">
        <v>24</v>
      </c>
      <c r="B35" t="s">
        <v>14</v>
      </c>
      <c r="C35" t="s">
        <v>15</v>
      </c>
      <c r="D35" s="2">
        <f>IFERROR(VLOOKUP(B35,valores[],2,TRUE),"")</f>
        <v>18000</v>
      </c>
      <c r="E35" t="s">
        <v>16</v>
      </c>
      <c r="F35" s="2">
        <f>D35*$F$4</f>
        <v>10800</v>
      </c>
      <c r="G35" s="2">
        <f>D35*$G$4</f>
        <v>7200</v>
      </c>
    </row>
    <row r="36" spans="1:7">
      <c r="A36" s="24" t="s">
        <v>24</v>
      </c>
      <c r="B36" t="s">
        <v>14</v>
      </c>
      <c r="C36" t="s">
        <v>21</v>
      </c>
      <c r="D36" s="2">
        <f>IFERROR(VLOOKUP(B36,valores[],2,TRUE),"")</f>
        <v>18000</v>
      </c>
      <c r="E36" t="s">
        <v>18</v>
      </c>
      <c r="F36" s="2">
        <v>0</v>
      </c>
      <c r="G36" s="2">
        <v>0</v>
      </c>
    </row>
    <row r="37" spans="1:7">
      <c r="A37" s="24" t="s">
        <v>27</v>
      </c>
      <c r="B37" t="s">
        <v>14</v>
      </c>
      <c r="C37" t="s">
        <v>21</v>
      </c>
      <c r="D37" s="2">
        <f>IFERROR(VLOOKUP(B37,valores[],2,TRUE),"")</f>
        <v>18000</v>
      </c>
      <c r="E37" t="s">
        <v>18</v>
      </c>
      <c r="F37" s="2">
        <v>0</v>
      </c>
      <c r="G37" s="2">
        <v>0</v>
      </c>
    </row>
    <row r="38" spans="1:7">
      <c r="A38" s="24" t="s">
        <v>27</v>
      </c>
      <c r="B38" t="s">
        <v>14</v>
      </c>
      <c r="C38" t="s">
        <v>15</v>
      </c>
      <c r="D38" s="2">
        <f>IFERROR(VLOOKUP(B38,valores[],2,TRUE),"")</f>
        <v>18000</v>
      </c>
      <c r="E38" t="s">
        <v>18</v>
      </c>
      <c r="F38" s="2">
        <f>D38*$F$4</f>
        <v>10800</v>
      </c>
      <c r="G38" s="2">
        <f>D38*$G$4</f>
        <v>7200</v>
      </c>
    </row>
    <row r="39" spans="1:7">
      <c r="A39" s="24" t="s">
        <v>27</v>
      </c>
      <c r="B39" t="s">
        <v>14</v>
      </c>
      <c r="C39" t="s">
        <v>15</v>
      </c>
      <c r="D39" s="2">
        <f>IFERROR(VLOOKUP(B39,valores[],2,TRUE),"")</f>
        <v>18000</v>
      </c>
      <c r="E39" t="s">
        <v>18</v>
      </c>
      <c r="F39" s="2">
        <f>D39*$F$4</f>
        <v>10800</v>
      </c>
      <c r="G39" s="2">
        <f>D39*$G$4</f>
        <v>7200</v>
      </c>
    </row>
    <row r="40" spans="1:7">
      <c r="A40" s="24" t="s">
        <v>27</v>
      </c>
      <c r="B40" t="s">
        <v>19</v>
      </c>
      <c r="C40" t="s">
        <v>15</v>
      </c>
      <c r="D40" s="2">
        <f>IFERROR(VLOOKUP(B40,valores[],2,TRUE),"")</f>
        <v>25000</v>
      </c>
      <c r="E40" t="s">
        <v>16</v>
      </c>
      <c r="F40" s="2">
        <f>D40*$F$4</f>
        <v>15000</v>
      </c>
      <c r="G40" s="2">
        <f>D40*$G$4</f>
        <v>10000</v>
      </c>
    </row>
    <row r="41" spans="1:7">
      <c r="A41" s="24" t="s">
        <v>27</v>
      </c>
      <c r="B41" t="s">
        <v>22</v>
      </c>
      <c r="C41" t="s">
        <v>15</v>
      </c>
      <c r="D41" s="2">
        <f>IFERROR(VLOOKUP(B41,valores[],2,TRUE),"")</f>
        <v>22000</v>
      </c>
      <c r="E41" t="s">
        <v>18</v>
      </c>
      <c r="F41" s="2">
        <f>D41*$F$4</f>
        <v>13200</v>
      </c>
      <c r="G41" s="2">
        <f>D41*$G$4</f>
        <v>8800</v>
      </c>
    </row>
    <row r="42" spans="1:7">
      <c r="A42" s="24" t="s">
        <v>27</v>
      </c>
      <c r="B42" t="s">
        <v>14</v>
      </c>
      <c r="C42" t="s">
        <v>15</v>
      </c>
      <c r="D42" s="2">
        <f>IFERROR(VLOOKUP(B42,valores[],2,TRUE),"")</f>
        <v>18000</v>
      </c>
      <c r="E42" t="s">
        <v>16</v>
      </c>
      <c r="F42" s="2">
        <f>D42*$F$4</f>
        <v>10800</v>
      </c>
      <c r="G42" s="2">
        <f>D42*$G$4</f>
        <v>7200</v>
      </c>
    </row>
    <row r="43" spans="1:7">
      <c r="A43" s="24" t="s">
        <v>27</v>
      </c>
      <c r="B43" t="s">
        <v>17</v>
      </c>
      <c r="C43" t="s">
        <v>15</v>
      </c>
      <c r="D43" s="2">
        <f>IFERROR(VLOOKUP(B43,valores[],2,TRUE),"")</f>
        <v>20000</v>
      </c>
      <c r="E43" t="s">
        <v>16</v>
      </c>
      <c r="F43" s="2">
        <f>D43*$F$4</f>
        <v>12000</v>
      </c>
      <c r="G43" s="2">
        <f>D43*$G$4</f>
        <v>8000</v>
      </c>
    </row>
    <row r="44" spans="1:7">
      <c r="A44" s="24" t="s">
        <v>27</v>
      </c>
      <c r="B44" t="s">
        <v>17</v>
      </c>
      <c r="C44" t="s">
        <v>15</v>
      </c>
      <c r="D44" s="2">
        <f>IFERROR(VLOOKUP(B44,valores[],2,TRUE),"")</f>
        <v>20000</v>
      </c>
      <c r="E44" t="s">
        <v>16</v>
      </c>
      <c r="F44" s="2">
        <f>D44*$F$4</f>
        <v>12000</v>
      </c>
      <c r="G44" s="2">
        <f>D44*$G$4</f>
        <v>8000</v>
      </c>
    </row>
    <row r="45" spans="1:7">
      <c r="A45" s="24" t="s">
        <v>27</v>
      </c>
      <c r="B45" t="s">
        <v>17</v>
      </c>
      <c r="C45" t="s">
        <v>21</v>
      </c>
      <c r="D45" s="2">
        <f>IFERROR(VLOOKUP(B45,valores[],2,TRUE),"")</f>
        <v>20000</v>
      </c>
      <c r="E45" t="s">
        <v>18</v>
      </c>
      <c r="F45" s="2">
        <v>0</v>
      </c>
      <c r="G45" s="2">
        <v>0</v>
      </c>
    </row>
    <row r="46" spans="1:7">
      <c r="A46" s="24" t="s">
        <v>28</v>
      </c>
      <c r="B46" t="s">
        <v>14</v>
      </c>
      <c r="C46" t="s">
        <v>21</v>
      </c>
      <c r="D46" s="2">
        <f>IFERROR(VLOOKUP(B46,valores[],2,TRUE),"")</f>
        <v>18000</v>
      </c>
      <c r="E46" t="s">
        <v>18</v>
      </c>
      <c r="F46" s="2">
        <v>0</v>
      </c>
      <c r="G46" s="2">
        <v>0</v>
      </c>
    </row>
    <row r="47" spans="1:7">
      <c r="A47" s="24" t="s">
        <v>28</v>
      </c>
      <c r="B47" t="s">
        <v>14</v>
      </c>
      <c r="C47" t="s">
        <v>15</v>
      </c>
      <c r="D47" s="2">
        <f>IFERROR(VLOOKUP(B47,valores[],2,TRUE),"")</f>
        <v>18000</v>
      </c>
      <c r="E47" t="s">
        <v>16</v>
      </c>
      <c r="F47" s="2">
        <f>D47*$F$4</f>
        <v>10800</v>
      </c>
      <c r="G47" s="2">
        <f>D47*$G$4</f>
        <v>7200</v>
      </c>
    </row>
    <row r="48" spans="1:7">
      <c r="A48" s="24" t="s">
        <v>28</v>
      </c>
      <c r="B48" t="s">
        <v>17</v>
      </c>
      <c r="C48" t="s">
        <v>15</v>
      </c>
      <c r="D48" s="2">
        <f>IFERROR(VLOOKUP(B48,valores[],2,TRUE),"")</f>
        <v>20000</v>
      </c>
      <c r="E48" t="s">
        <v>18</v>
      </c>
      <c r="F48" s="2">
        <f>D48*$F$4</f>
        <v>12000</v>
      </c>
      <c r="G48" s="2">
        <f>D48*$G$4</f>
        <v>8000</v>
      </c>
    </row>
    <row r="49" spans="1:7">
      <c r="A49" s="24" t="s">
        <v>28</v>
      </c>
      <c r="B49" t="s">
        <v>19</v>
      </c>
      <c r="C49" t="s">
        <v>15</v>
      </c>
      <c r="D49" s="2">
        <f>IFERROR(VLOOKUP(B49,valores[],2,TRUE),"")</f>
        <v>25000</v>
      </c>
      <c r="E49" t="s">
        <v>18</v>
      </c>
      <c r="F49" s="2">
        <f>D49*$F$4</f>
        <v>15000</v>
      </c>
      <c r="G49" s="2">
        <f>D49*$G$4</f>
        <v>10000</v>
      </c>
    </row>
    <row r="50" spans="1:7">
      <c r="A50" s="24" t="s">
        <v>28</v>
      </c>
      <c r="B50" t="s">
        <v>17</v>
      </c>
      <c r="C50" t="s">
        <v>15</v>
      </c>
      <c r="D50" s="2">
        <f>IFERROR(VLOOKUP(B50,valores[],2,TRUE),"")</f>
        <v>20000</v>
      </c>
      <c r="E50" t="s">
        <v>16</v>
      </c>
      <c r="F50" s="2">
        <f>D50*$F$4</f>
        <v>12000</v>
      </c>
      <c r="G50" s="2">
        <f>D50*$G$4</f>
        <v>8000</v>
      </c>
    </row>
    <row r="51" spans="1:7">
      <c r="A51" s="24" t="s">
        <v>28</v>
      </c>
      <c r="B51" t="s">
        <v>17</v>
      </c>
      <c r="C51" t="s">
        <v>15</v>
      </c>
      <c r="D51" s="2">
        <f>IFERROR(VLOOKUP(B51,valores[],2,TRUE),"")</f>
        <v>20000</v>
      </c>
      <c r="E51" t="s">
        <v>16</v>
      </c>
      <c r="F51" s="2">
        <f>D51*$F$4</f>
        <v>12000</v>
      </c>
      <c r="G51" s="2">
        <f>D51*$G$4</f>
        <v>8000</v>
      </c>
    </row>
    <row r="52" spans="1:7">
      <c r="A52" s="24" t="s">
        <v>28</v>
      </c>
      <c r="B52" t="s">
        <v>14</v>
      </c>
      <c r="C52" t="s">
        <v>15</v>
      </c>
      <c r="D52" s="2">
        <f>IFERROR(VLOOKUP(B52,valores[],2,TRUE),"")</f>
        <v>18000</v>
      </c>
      <c r="E52" t="s">
        <v>16</v>
      </c>
      <c r="F52" s="2">
        <f>D52*$F$4</f>
        <v>10800</v>
      </c>
      <c r="G52" s="2">
        <f>D52*$G$4</f>
        <v>7200</v>
      </c>
    </row>
    <row r="53" spans="1:7">
      <c r="A53" s="24" t="s">
        <v>28</v>
      </c>
      <c r="B53" t="s">
        <v>29</v>
      </c>
      <c r="C53" t="s">
        <v>15</v>
      </c>
      <c r="D53" s="2">
        <f>IFERROR(VLOOKUP(B53,valores[],2,TRUE),"")</f>
        <v>23000</v>
      </c>
      <c r="E53" t="s">
        <v>18</v>
      </c>
      <c r="F53" s="2">
        <f>D53*$F$4</f>
        <v>13800</v>
      </c>
      <c r="G53" s="2">
        <f>D53*$G$4</f>
        <v>9200</v>
      </c>
    </row>
    <row r="54" spans="1:7">
      <c r="A54" s="24" t="s">
        <v>28</v>
      </c>
      <c r="B54" t="s">
        <v>19</v>
      </c>
      <c r="C54" t="s">
        <v>15</v>
      </c>
      <c r="D54" s="2">
        <f>IFERROR(VLOOKUP(B54,valores[],2,TRUE),"")</f>
        <v>25000</v>
      </c>
      <c r="E54" t="s">
        <v>18</v>
      </c>
      <c r="F54" s="2">
        <f>D54*$F$4</f>
        <v>15000</v>
      </c>
      <c r="G54" s="2">
        <f>D54*$G$4</f>
        <v>10000</v>
      </c>
    </row>
    <row r="55" spans="1:7">
      <c r="A55" s="24" t="s">
        <v>28</v>
      </c>
      <c r="B55" t="s">
        <v>22</v>
      </c>
      <c r="C55" t="s">
        <v>15</v>
      </c>
      <c r="D55" s="2">
        <f>IFERROR(VLOOKUP(B55,valores[],2,TRUE),"")</f>
        <v>22000</v>
      </c>
      <c r="E55" t="s">
        <v>16</v>
      </c>
      <c r="F55" s="2">
        <f>D55*$F$4</f>
        <v>13200</v>
      </c>
      <c r="G55" s="2">
        <f>D55*$G$4</f>
        <v>8800</v>
      </c>
    </row>
    <row r="56" spans="1:7">
      <c r="A56" s="24" t="s">
        <v>28</v>
      </c>
      <c r="B56" t="s">
        <v>14</v>
      </c>
      <c r="C56" t="s">
        <v>15</v>
      </c>
      <c r="D56" s="2">
        <f>IFERROR(VLOOKUP(B56,valores[],2,TRUE),"")</f>
        <v>18000</v>
      </c>
      <c r="E56" t="s">
        <v>16</v>
      </c>
      <c r="F56" s="2">
        <f>D56*$F$4</f>
        <v>10800</v>
      </c>
      <c r="G56" s="2">
        <f>D56*$G$4</f>
        <v>7200</v>
      </c>
    </row>
    <row r="57" spans="1:7">
      <c r="A57" s="24" t="s">
        <v>30</v>
      </c>
      <c r="B57" t="s">
        <v>14</v>
      </c>
      <c r="C57" t="s">
        <v>15</v>
      </c>
      <c r="D57" s="2">
        <f>IFERROR(VLOOKUP(B57,valores[],2,TRUE),"")</f>
        <v>18000</v>
      </c>
      <c r="E57" t="s">
        <v>18</v>
      </c>
      <c r="F57" s="2">
        <f>D57*$F$4</f>
        <v>10800</v>
      </c>
      <c r="G57" s="2">
        <f>D57*$G$4</f>
        <v>7200</v>
      </c>
    </row>
    <row r="58" spans="1:7">
      <c r="A58" s="24" t="s">
        <v>30</v>
      </c>
      <c r="B58" t="s">
        <v>17</v>
      </c>
      <c r="C58" t="s">
        <v>15</v>
      </c>
      <c r="D58" s="2">
        <f>IFERROR(VLOOKUP(B58,valores[],2,TRUE),"")</f>
        <v>20000</v>
      </c>
      <c r="E58" t="s">
        <v>16</v>
      </c>
      <c r="F58" s="2">
        <f>D58*$F$4</f>
        <v>12000</v>
      </c>
      <c r="G58" s="2">
        <f>D58*$G$4</f>
        <v>8000</v>
      </c>
    </row>
    <row r="59" spans="1:7">
      <c r="A59" s="24" t="s">
        <v>30</v>
      </c>
      <c r="B59" t="s">
        <v>19</v>
      </c>
      <c r="C59" t="s">
        <v>15</v>
      </c>
      <c r="D59" s="2">
        <f>IFERROR(VLOOKUP(B59,valores[],2,TRUE),"")</f>
        <v>25000</v>
      </c>
      <c r="E59" t="s">
        <v>16</v>
      </c>
      <c r="F59" s="2">
        <f>D59*$F$4</f>
        <v>15000</v>
      </c>
      <c r="G59" s="2">
        <f>D59*$G$4</f>
        <v>10000</v>
      </c>
    </row>
    <row r="60" spans="1:7">
      <c r="A60" s="24" t="s">
        <v>30</v>
      </c>
      <c r="B60" t="s">
        <v>17</v>
      </c>
      <c r="C60" t="s">
        <v>15</v>
      </c>
      <c r="D60" s="2">
        <f>IFERROR(VLOOKUP(B60,valores[],2,TRUE),"")</f>
        <v>20000</v>
      </c>
      <c r="E60" t="s">
        <v>16</v>
      </c>
      <c r="F60" s="2">
        <f>D60*$F$4</f>
        <v>12000</v>
      </c>
      <c r="G60" s="2">
        <f>D60*$G$4</f>
        <v>8000</v>
      </c>
    </row>
    <row r="61" spans="1:7">
      <c r="A61" s="24" t="s">
        <v>30</v>
      </c>
      <c r="B61" t="s">
        <v>29</v>
      </c>
      <c r="C61" t="s">
        <v>15</v>
      </c>
      <c r="D61" s="2">
        <f>IFERROR(VLOOKUP(B61,valores[],2,TRUE),"")</f>
        <v>23000</v>
      </c>
      <c r="E61" t="s">
        <v>18</v>
      </c>
      <c r="F61" s="2">
        <f>D61*$F$4</f>
        <v>13800</v>
      </c>
      <c r="G61" s="2">
        <f>D61*$G$4</f>
        <v>9200</v>
      </c>
    </row>
    <row r="62" spans="1:7">
      <c r="A62" s="24" t="s">
        <v>30</v>
      </c>
      <c r="B62" t="s">
        <v>17</v>
      </c>
      <c r="C62" t="s">
        <v>15</v>
      </c>
      <c r="D62" s="2">
        <f>IFERROR(VLOOKUP(B62,valores[],2,TRUE),"")</f>
        <v>20000</v>
      </c>
      <c r="E62" t="s">
        <v>18</v>
      </c>
      <c r="F62" s="2">
        <f>D62*$F$4</f>
        <v>12000</v>
      </c>
      <c r="G62" s="2">
        <f>D62*$G$4</f>
        <v>8000</v>
      </c>
    </row>
    <row r="63" spans="1:7">
      <c r="A63" s="24" t="s">
        <v>30</v>
      </c>
      <c r="B63" t="s">
        <v>14</v>
      </c>
      <c r="C63" t="s">
        <v>15</v>
      </c>
      <c r="D63" s="2">
        <f>IFERROR(VLOOKUP(B63,valores[],2,TRUE),"")</f>
        <v>18000</v>
      </c>
      <c r="E63" t="s">
        <v>16</v>
      </c>
      <c r="F63" s="2">
        <f>D63*$F$4</f>
        <v>10800</v>
      </c>
      <c r="G63" s="2">
        <f>D63*$G$4</f>
        <v>7200</v>
      </c>
    </row>
    <row r="64" spans="1:7">
      <c r="A64" s="24" t="s">
        <v>30</v>
      </c>
      <c r="B64" t="s">
        <v>14</v>
      </c>
      <c r="C64" t="s">
        <v>15</v>
      </c>
      <c r="D64" s="2">
        <f>IFERROR(VLOOKUP(B64,valores[],2,TRUE),"")</f>
        <v>18000</v>
      </c>
      <c r="E64" t="s">
        <v>16</v>
      </c>
      <c r="F64" s="2">
        <f>D64*$F$4</f>
        <v>10800</v>
      </c>
      <c r="G64" s="2">
        <f>D64*$G$4</f>
        <v>7200</v>
      </c>
    </row>
    <row r="65" spans="1:7">
      <c r="A65" s="24" t="s">
        <v>30</v>
      </c>
      <c r="B65" t="s">
        <v>19</v>
      </c>
      <c r="C65" t="s">
        <v>21</v>
      </c>
      <c r="D65" s="2">
        <f>IFERROR(VLOOKUP(B65,valores[],2,TRUE),"")</f>
        <v>25000</v>
      </c>
      <c r="E65" t="s">
        <v>18</v>
      </c>
      <c r="F65" s="2">
        <v>0</v>
      </c>
      <c r="G65" s="2">
        <v>0</v>
      </c>
    </row>
    <row r="66" spans="1:7">
      <c r="A66" s="24" t="s">
        <v>30</v>
      </c>
      <c r="B66" t="s">
        <v>19</v>
      </c>
      <c r="C66" t="s">
        <v>21</v>
      </c>
      <c r="D66" s="2">
        <f>IFERROR(VLOOKUP(B66,valores[],2,TRUE),"")</f>
        <v>25000</v>
      </c>
      <c r="E66" t="s">
        <v>18</v>
      </c>
      <c r="F66" s="2">
        <v>0</v>
      </c>
      <c r="G66" s="2">
        <v>0</v>
      </c>
    </row>
    <row r="67" spans="1:7">
      <c r="A67" s="24" t="s">
        <v>30</v>
      </c>
      <c r="B67" t="s">
        <v>14</v>
      </c>
      <c r="C67" t="s">
        <v>21</v>
      </c>
      <c r="D67" s="2">
        <f>IFERROR(VLOOKUP(B67,valores[],2,TRUE),"")</f>
        <v>18000</v>
      </c>
      <c r="E67" t="s">
        <v>18</v>
      </c>
      <c r="F67" s="2">
        <v>0</v>
      </c>
      <c r="G67" s="2">
        <v>0</v>
      </c>
    </row>
  </sheetData>
  <mergeCells count="11">
    <mergeCell ref="H1:J1"/>
    <mergeCell ref="L1:N1"/>
    <mergeCell ref="P1:R1"/>
    <mergeCell ref="H2:J2"/>
    <mergeCell ref="L2:N2"/>
    <mergeCell ref="P2:R2"/>
    <mergeCell ref="H3:J3"/>
    <mergeCell ref="P3:R3"/>
    <mergeCell ref="H4:J4"/>
    <mergeCell ref="P4:R4"/>
    <mergeCell ref="A1:G3"/>
  </mergeCells>
  <dataValidations count="3">
    <dataValidation type="list" allowBlank="1" showInputMessage="1" showErrorMessage="1" sqref="E14 E15 E16 E17 E18 E19 E20 E21 E22 E23 E24 E25 E26 E27 E28 E29 E30 E31 E32 E33 E34 E35 E36 E37 E38 E39 E40 E41 E42 E43 E44 E45 E46 E47 E48 E49 E50 E51 E52 E53 E54 E55 E56 E57 E58 E59 E60 E61 E62 E63 E64 E65 E66 E67 E6:E13">
      <formula1>'PARÁMETROS '!$F$3:$F$4</formula1>
    </dataValidation>
    <dataValidation type="list" allowBlank="1" showInputMessage="1" showErrorMessage="1" sqref="C17 C18 C19 C20 C21 C22 C23 C24 C25 C26 C27 C28 C29 C30 C31 C32 C33 C34 C35 C36 C37 C38 C39 C40 C41 C42 C43 C44 C45 C46 C47 C48 C49 C50 C51 C52 C53 C54 C55 C56 C57 C58 C59 C60 C61 C62 C63 C64 C65 C66 C67 C6:C16">
      <formula1>'PARÁMETROS '!$A$3:$A$4</formula1>
    </dataValidation>
    <dataValidation type="list" allowBlank="1" showInputMessage="1" showErrorMessage="1" sqref="B20 B21 B22 B23 B24 B25 B26 B27 B28 B29 B30 B31 B32 B33 B34 B35 B36 B37 B38 B39 B40 B41 B42 B43 B44 B45 B46 B47 B48 B49 B50 B51 B52 B53 B54 B55 B56 B57 B58 B59 B60 B61 B62 B63 B64 B65 B66 B67 B6:B19">
      <formula1>'PARÁMETROS '!$C$3:$C$7</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A23" sqref="A23"/>
    </sheetView>
  </sheetViews>
  <sheetFormatPr defaultColWidth="9" defaultRowHeight="14" outlineLevelRow="6" outlineLevelCol="5"/>
  <cols>
    <col min="1" max="1" width="22.8636363636364" customWidth="1"/>
    <col min="3" max="3" width="25.0181818181818" customWidth="1"/>
    <col min="4" max="4" width="21.5272727272727" customWidth="1"/>
    <col min="6" max="6" width="18.2727272727273" customWidth="1"/>
  </cols>
  <sheetData>
    <row r="1" spans="1:6">
      <c r="C1" s="1" t="s">
        <v>31</v>
      </c>
      <c r="D1" s="1"/>
    </row>
    <row r="2" spans="1:6">
      <c r="A2" t="s">
        <v>32</v>
      </c>
      <c r="C2" t="s">
        <v>33</v>
      </c>
      <c r="D2" t="s">
        <v>34</v>
      </c>
      <c r="F2" t="s">
        <v>35</v>
      </c>
    </row>
    <row r="3" spans="1:6">
      <c r="A3" t="s">
        <v>15</v>
      </c>
      <c r="C3" t="s">
        <v>14</v>
      </c>
      <c r="D3" s="2">
        <v>18000</v>
      </c>
      <c r="F3" t="s">
        <v>16</v>
      </c>
    </row>
    <row r="4" spans="1:6">
      <c r="A4" t="s">
        <v>21</v>
      </c>
      <c r="C4" t="s">
        <v>17</v>
      </c>
      <c r="D4" s="2">
        <v>20000</v>
      </c>
      <c r="F4" t="s">
        <v>18</v>
      </c>
    </row>
    <row r="5" spans="1:6">
      <c r="C5" t="s">
        <v>19</v>
      </c>
      <c r="D5" s="2">
        <v>25000</v>
      </c>
    </row>
    <row r="6" spans="1:6">
      <c r="C6" t="s">
        <v>22</v>
      </c>
      <c r="D6" s="2">
        <v>22000</v>
      </c>
    </row>
    <row r="7" spans="1:6">
      <c r="C7" t="s">
        <v>29</v>
      </c>
      <c r="D7" s="2">
        <v>23000</v>
      </c>
    </row>
  </sheetData>
  <mergeCells count="1">
    <mergeCell ref="C1:D1"/>
  </mergeCells>
  <pageMargins left="0.7" right="0.7" top="0.75" bottom="0.75" header="0.3" footer="0.3"/>
  <headerFooter/>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Excel Android</Application>
  <HeadingPairs>
    <vt:vector size="2" baseType="variant">
      <vt:variant>
        <vt:lpstr>工作表</vt:lpstr>
      </vt:variant>
      <vt:variant>
        <vt:i4>2</vt:i4>
      </vt:variant>
    </vt:vector>
  </HeadingPairs>
  <TitlesOfParts>
    <vt:vector size="2" baseType="lpstr">
      <vt:lpstr>SERVICIOS MAYO</vt:lpstr>
      <vt:lpstr>PARÁMETROS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Ivonne Julieth Duarte Jimenez</dc:creator>
  <cp:lastModifiedBy>IVONNE JULIETH DUARTE JIMÉNEZ</cp:lastModifiedBy>
  <dcterms:created xsi:type="dcterms:W3CDTF">2026-05-25T20:51:00Z</dcterms:created>
  <dcterms:modified xsi:type="dcterms:W3CDTF">2026-06-02T20:34:25Z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2058-12.1.0.26372</vt:lpwstr>
  </property>
  <property fmtid="{D5CDD505-2E9C-101B-9397-08002B2CF9AE}" pid="3" name="CalculationRule">
    <vt:i4>0</vt:i4>
  </property>
  <property fmtid="{D5CDD505-2E9C-101B-9397-08002B2CF9AE}" pid="4" name="ICV">
    <vt:lpwstr>F5CEE434EDCF47D483D8161D34243A55_13</vt:lpwstr>
  </property>
</Properties>
</file>